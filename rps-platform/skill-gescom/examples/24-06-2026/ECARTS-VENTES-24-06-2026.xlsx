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arts 24-06-2026" sheetId="1" state="visible" r:id="rId3"/>
  </sheets>
  <definedNames>
    <definedName function="false" hidden="true" localSheetId="0" name="_xlnm._FilterDatabase" vbProcedure="false">'Ecarts 24-06-2026'!$A$4:$I$52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<sst xmlns="http://schemas.openxmlformats.org/spreadsheetml/2006/main" count="157" uniqueCount="114">
  <si>
    <t xml:space="preserve">RPS — Ecarts ventes GESCOM vs Rapport officiel — 24/06/2026</t>
  </si>
  <si>
    <t xml:space="preserve">Quantites en litres. Source officielle : Rapport des ventes 24/06/2026. Aucune valeur GESCOM modifiee — ecarts signales pour relance.</t>
  </si>
  <si>
    <t xml:space="preserve">N°</t>
  </si>
  <si>
    <t xml:space="preserve">Station</t>
  </si>
  <si>
    <t xml:space="preserve">Officiel GASOIL</t>
  </si>
  <si>
    <t xml:space="preserve">Officiel SUPER</t>
  </si>
  <si>
    <t xml:space="preserve">GESCOM GASOIL</t>
  </si>
  <si>
    <t xml:space="preserve">GESCOM SUPER</t>
  </si>
  <si>
    <t xml:space="preserve">Ecart GASOIL</t>
  </si>
  <si>
    <t xml:space="preserve">Ecart SUPER</t>
  </si>
  <si>
    <t xml:space="preserve">Cause</t>
  </si>
  <si>
    <t xml:space="preserve">02</t>
  </si>
  <si>
    <t xml:space="preserve">RPS Dosso</t>
  </si>
  <si>
    <t xml:space="preserve">SUPER / lignes credit a verifier (AUTOGARE)</t>
  </si>
  <si>
    <t xml:space="preserve">47</t>
  </si>
  <si>
    <t xml:space="preserve">RPS Mayahi</t>
  </si>
  <si>
    <t xml:space="preserve">Facture principale datee 23/05 - exclue</t>
  </si>
  <si>
    <t xml:space="preserve">20</t>
  </si>
  <si>
    <t xml:space="preserve">20 - RPS Diffa</t>
  </si>
  <si>
    <t xml:space="preserve">Station non transmise - a relancer</t>
  </si>
  <si>
    <t xml:space="preserve">15</t>
  </si>
  <si>
    <t xml:space="preserve">15 - RPS Lazaret</t>
  </si>
  <si>
    <t xml:space="preserve">54</t>
  </si>
  <si>
    <t xml:space="preserve">54 - RPS Ayorou</t>
  </si>
  <si>
    <t xml:space="preserve">30</t>
  </si>
  <si>
    <t xml:space="preserve">RPS Chateau8</t>
  </si>
  <si>
    <t xml:space="preserve">A verifier</t>
  </si>
  <si>
    <t xml:space="preserve">06</t>
  </si>
  <si>
    <t xml:space="preserve">06 - RPS Konni</t>
  </si>
  <si>
    <t xml:space="preserve">05</t>
  </si>
  <si>
    <t xml:space="preserve">RPS Doutchi</t>
  </si>
  <si>
    <t xml:space="preserve">Concordant</t>
  </si>
  <si>
    <t xml:space="preserve">08</t>
  </si>
  <si>
    <t xml:space="preserve">RPS Direction</t>
  </si>
  <si>
    <t xml:space="preserve">43</t>
  </si>
  <si>
    <t xml:space="preserve">RPS Agadez Misrata</t>
  </si>
  <si>
    <t xml:space="preserve">37</t>
  </si>
  <si>
    <t xml:space="preserve">RPS Konni 02</t>
  </si>
  <si>
    <t xml:space="preserve">46</t>
  </si>
  <si>
    <t xml:space="preserve">RPS Guidan Roumdji</t>
  </si>
  <si>
    <t xml:space="preserve">36</t>
  </si>
  <si>
    <t xml:space="preserve">RPS Tandobon</t>
  </si>
  <si>
    <t xml:space="preserve">32</t>
  </si>
  <si>
    <t xml:space="preserve">RPS Madina</t>
  </si>
  <si>
    <t xml:space="preserve">42</t>
  </si>
  <si>
    <t xml:space="preserve">RPS Zr-Hypodrome</t>
  </si>
  <si>
    <t xml:space="preserve">29</t>
  </si>
  <si>
    <t xml:space="preserve">RPS Harobanda</t>
  </si>
  <si>
    <t xml:space="preserve">01</t>
  </si>
  <si>
    <t xml:space="preserve">RPS Gaya</t>
  </si>
  <si>
    <t xml:space="preserve">03</t>
  </si>
  <si>
    <t xml:space="preserve">04</t>
  </si>
  <si>
    <t xml:space="preserve">RPS Tessaoua</t>
  </si>
  <si>
    <t xml:space="preserve">11</t>
  </si>
  <si>
    <t xml:space="preserve">RPS Yantala</t>
  </si>
  <si>
    <t xml:space="preserve">12</t>
  </si>
  <si>
    <t xml:space="preserve">RPS Maradi</t>
  </si>
  <si>
    <t xml:space="preserve">13</t>
  </si>
  <si>
    <t xml:space="preserve">RPS Koubia</t>
  </si>
  <si>
    <t xml:space="preserve">14</t>
  </si>
  <si>
    <t xml:space="preserve">RPS Sorey</t>
  </si>
  <si>
    <t xml:space="preserve">16</t>
  </si>
  <si>
    <t xml:space="preserve">RPS Cité Caisse</t>
  </si>
  <si>
    <t xml:space="preserve">17</t>
  </si>
  <si>
    <t xml:space="preserve">RPS Bceao</t>
  </si>
  <si>
    <t xml:space="preserve">18</t>
  </si>
  <si>
    <t xml:space="preserve">18 - RPS Agadez</t>
  </si>
  <si>
    <t xml:space="preserve">Hors service</t>
  </si>
  <si>
    <t xml:space="preserve">21</t>
  </si>
  <si>
    <t xml:space="preserve">RPS Cité Progrès</t>
  </si>
  <si>
    <t xml:space="preserve">22</t>
  </si>
  <si>
    <t xml:space="preserve">RPS-Kossey</t>
  </si>
  <si>
    <t xml:space="preserve">23</t>
  </si>
  <si>
    <t xml:space="preserve">23 - RPS Saga Gorou</t>
  </si>
  <si>
    <t xml:space="preserve">24</t>
  </si>
  <si>
    <t xml:space="preserve">RPS Route Rond Point Baré</t>
  </si>
  <si>
    <t xml:space="preserve">25</t>
  </si>
  <si>
    <t xml:space="preserve">RPS Marhaba</t>
  </si>
  <si>
    <t xml:space="preserve">26</t>
  </si>
  <si>
    <t xml:space="preserve">RPS Tourakou</t>
  </si>
  <si>
    <t xml:space="preserve">27</t>
  </si>
  <si>
    <t xml:space="preserve">RPS Dar Salam</t>
  </si>
  <si>
    <t xml:space="preserve">28</t>
  </si>
  <si>
    <t xml:space="preserve">RPS Bobiel</t>
  </si>
  <si>
    <t xml:space="preserve">31</t>
  </si>
  <si>
    <t xml:space="preserve">RPS Rimbo</t>
  </si>
  <si>
    <t xml:space="preserve">33</t>
  </si>
  <si>
    <t xml:space="preserve">RPS Les Arènes</t>
  </si>
  <si>
    <t xml:space="preserve">34</t>
  </si>
  <si>
    <t xml:space="preserve">RPS Bonkaney</t>
  </si>
  <si>
    <t xml:space="preserve">35</t>
  </si>
  <si>
    <t xml:space="preserve">RPS Gaya 03</t>
  </si>
  <si>
    <t xml:space="preserve">38</t>
  </si>
  <si>
    <t xml:space="preserve">RPS Tahoua 01</t>
  </si>
  <si>
    <t xml:space="preserve">39</t>
  </si>
  <si>
    <t xml:space="preserve">RPS Tahoua 02</t>
  </si>
  <si>
    <t xml:space="preserve">41</t>
  </si>
  <si>
    <t xml:space="preserve">RPS Zinder-Soraze</t>
  </si>
  <si>
    <t xml:space="preserve">44</t>
  </si>
  <si>
    <t xml:space="preserve">RPS Saga</t>
  </si>
  <si>
    <t xml:space="preserve">45</t>
  </si>
  <si>
    <t xml:space="preserve">RPS Arlit</t>
  </si>
  <si>
    <t xml:space="preserve">48</t>
  </si>
  <si>
    <t xml:space="preserve">RPS Tchinta RT Algérie</t>
  </si>
  <si>
    <t xml:space="preserve">51</t>
  </si>
  <si>
    <t xml:space="preserve">RPS Abalak Préfecture</t>
  </si>
  <si>
    <t xml:space="preserve">52</t>
  </si>
  <si>
    <t xml:space="preserve">RPS Hamdallaye</t>
  </si>
  <si>
    <t xml:space="preserve">53</t>
  </si>
  <si>
    <t xml:space="preserve">RPS Baléyara</t>
  </si>
  <si>
    <t xml:space="preserve">GR</t>
  </si>
  <si>
    <t xml:space="preserve">EX-DEPOT-RIMBO</t>
  </si>
  <si>
    <t xml:space="preserve">TOTAL</t>
  </si>
  <si>
    <t xml:space="preserve">7 stations non transmises + Mayahi (23/05) + Dosso a verifier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</si>
</sst>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.5"/>
      <color rgb="FF000000"/>
      <name val="Arial"/>
      <family val="0"/>
      <charset val="1"/>
    </font>
    <font>
      <b val="true"/>
      <sz val="8.5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FBEAEA"/>
        <bgColor rgb="FFE6F4EA"/>
      </patternFill>
    </fill>
    <fill>
      <patternFill patternType="solid">
        <fgColor rgb="FFE6F4EA"/>
        <bgColor rgb="FFFBEAE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A3C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BEAE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BEAEA"/>
      <rgbColor rgb="FFE6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8" min="7" style="0" width="15"/>
    <col collapsed="false" customWidth="true" hidden="false" outlineLevel="0" max="9" min="9" style="0" width="4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6" t="n">
        <v>5897.57</v>
      </c>
      <c r="D5" s="6" t="n">
        <v>6913.89</v>
      </c>
      <c r="E5" s="6" t="n">
        <v>10119.91</v>
      </c>
      <c r="F5" s="6" t="n">
        <v>1673.71</v>
      </c>
      <c r="G5" s="7" t="n">
        <f aca="false">E5-C5</f>
        <v>4222.34</v>
      </c>
      <c r="H5" s="7" t="n">
        <f aca="false">F5-D5</f>
        <v>-5240.18</v>
      </c>
      <c r="I5" s="8" t="s">
        <v>13</v>
      </c>
    </row>
    <row r="6" customFormat="false" ht="15" hidden="false" customHeight="false" outlineLevel="0" collapsed="false">
      <c r="A6" s="4" t="s">
        <v>14</v>
      </c>
      <c r="B6" s="5" t="s">
        <v>15</v>
      </c>
      <c r="C6" s="6" t="n">
        <v>7200</v>
      </c>
      <c r="D6" s="6" t="n">
        <v>600</v>
      </c>
      <c r="E6" s="6" t="n">
        <v>1471.62</v>
      </c>
      <c r="F6" s="6" t="n">
        <v>79.57</v>
      </c>
      <c r="G6" s="7" t="n">
        <f aca="false">E6-C6</f>
        <v>-5728.38</v>
      </c>
      <c r="H6" s="7" t="n">
        <f aca="false">F6-D6</f>
        <v>-520.43</v>
      </c>
      <c r="I6" s="8" t="s">
        <v>16</v>
      </c>
    </row>
    <row r="7" customFormat="false" ht="15" hidden="false" customHeight="false" outlineLevel="0" collapsed="false">
      <c r="A7" s="4" t="s">
        <v>17</v>
      </c>
      <c r="B7" s="5" t="s">
        <v>18</v>
      </c>
      <c r="C7" s="6" t="n">
        <v>1389.61</v>
      </c>
      <c r="D7" s="6" t="n">
        <v>4845.81</v>
      </c>
      <c r="E7" s="6" t="n">
        <v>0</v>
      </c>
      <c r="F7" s="6" t="n">
        <v>0</v>
      </c>
      <c r="G7" s="7" t="n">
        <f aca="false">E7-C7</f>
        <v>-1389.61</v>
      </c>
      <c r="H7" s="7" t="n">
        <f aca="false">F7-D7</f>
        <v>-4845.81</v>
      </c>
      <c r="I7" s="8" t="s">
        <v>19</v>
      </c>
    </row>
    <row r="8" customFormat="false" ht="15" hidden="false" customHeight="false" outlineLevel="0" collapsed="false">
      <c r="A8" s="4" t="s">
        <v>20</v>
      </c>
      <c r="B8" s="5" t="s">
        <v>21</v>
      </c>
      <c r="C8" s="6" t="n">
        <v>216.92</v>
      </c>
      <c r="D8" s="6" t="n">
        <v>1733.98</v>
      </c>
      <c r="E8" s="6" t="n">
        <v>0</v>
      </c>
      <c r="F8" s="6" t="n">
        <v>0</v>
      </c>
      <c r="G8" s="7" t="n">
        <f aca="false">E8-C8</f>
        <v>-216.92</v>
      </c>
      <c r="H8" s="7" t="n">
        <f aca="false">F8-D8</f>
        <v>-1733.98</v>
      </c>
      <c r="I8" s="8" t="s">
        <v>19</v>
      </c>
    </row>
    <row r="9" customFormat="false" ht="15" hidden="false" customHeight="false" outlineLevel="0" collapsed="false">
      <c r="A9" s="4" t="s">
        <v>22</v>
      </c>
      <c r="B9" s="5" t="s">
        <v>23</v>
      </c>
      <c r="C9" s="6" t="n">
        <v>373.96</v>
      </c>
      <c r="D9" s="6" t="n">
        <v>1047.18</v>
      </c>
      <c r="E9" s="6" t="n">
        <v>0</v>
      </c>
      <c r="F9" s="6" t="n">
        <v>0</v>
      </c>
      <c r="G9" s="7" t="n">
        <f aca="false">E9-C9</f>
        <v>-373.96</v>
      </c>
      <c r="H9" s="7" t="n">
        <f aca="false">F9-D9</f>
        <v>-1047.18</v>
      </c>
      <c r="I9" s="8" t="s">
        <v>19</v>
      </c>
    </row>
    <row r="10" customFormat="false" ht="15" hidden="false" customHeight="false" outlineLevel="0" collapsed="false">
      <c r="A10" s="4" t="s">
        <v>24</v>
      </c>
      <c r="B10" s="5" t="s">
        <v>25</v>
      </c>
      <c r="C10" s="6" t="n">
        <v>0</v>
      </c>
      <c r="D10" s="6" t="n">
        <v>2893.97</v>
      </c>
      <c r="E10" s="6" t="n">
        <v>0</v>
      </c>
      <c r="F10" s="6" t="n">
        <v>1969.41</v>
      </c>
      <c r="G10" s="7" t="n">
        <f aca="false">E10-C10</f>
        <v>0</v>
      </c>
      <c r="H10" s="7" t="n">
        <f aca="false">F10-D10</f>
        <v>-924.56</v>
      </c>
      <c r="I10" s="8" t="s">
        <v>26</v>
      </c>
    </row>
    <row r="11" customFormat="false" ht="15" hidden="false" customHeight="false" outlineLevel="0" collapsed="false">
      <c r="A11" s="4" t="s">
        <v>27</v>
      </c>
      <c r="B11" s="5" t="s">
        <v>28</v>
      </c>
      <c r="C11" s="6" t="n">
        <v>63</v>
      </c>
      <c r="D11" s="6" t="n">
        <v>0</v>
      </c>
      <c r="E11" s="6" t="n">
        <v>0</v>
      </c>
      <c r="F11" s="6" t="n">
        <v>0</v>
      </c>
      <c r="G11" s="7" t="n">
        <f aca="false">E11-C11</f>
        <v>-63</v>
      </c>
      <c r="H11" s="7" t="n">
        <f aca="false">F11-D11</f>
        <v>0</v>
      </c>
      <c r="I11" s="8" t="s">
        <v>19</v>
      </c>
    </row>
    <row r="12" customFormat="false" ht="15" hidden="false" customHeight="false" outlineLevel="0" collapsed="false">
      <c r="A12" s="4" t="s">
        <v>29</v>
      </c>
      <c r="B12" s="5" t="s">
        <v>30</v>
      </c>
      <c r="C12" s="6" t="n">
        <v>2093.36</v>
      </c>
      <c r="D12" s="6" t="n">
        <v>2189</v>
      </c>
      <c r="E12" s="6" t="n">
        <v>2093.96</v>
      </c>
      <c r="F12" s="6" t="n">
        <v>2189</v>
      </c>
      <c r="G12" s="9" t="n">
        <f aca="false">E12-C12</f>
        <v>0.599999999999909</v>
      </c>
      <c r="H12" s="9" t="n">
        <f aca="false">F12-D12</f>
        <v>0</v>
      </c>
      <c r="I12" s="10" t="s">
        <v>31</v>
      </c>
    </row>
    <row r="13" customFormat="false" ht="15" hidden="false" customHeight="false" outlineLevel="0" collapsed="false">
      <c r="A13" s="4" t="s">
        <v>32</v>
      </c>
      <c r="B13" s="5" t="s">
        <v>33</v>
      </c>
      <c r="C13" s="6" t="n">
        <v>230.31</v>
      </c>
      <c r="D13" s="6" t="n">
        <v>1282.65</v>
      </c>
      <c r="E13" s="6" t="n">
        <v>230</v>
      </c>
      <c r="F13" s="6" t="n">
        <v>1282.65</v>
      </c>
      <c r="G13" s="9" t="n">
        <f aca="false">E13-C13</f>
        <v>-0.310000000000002</v>
      </c>
      <c r="H13" s="9" t="n">
        <f aca="false">F13-D13</f>
        <v>0</v>
      </c>
      <c r="I13" s="10" t="s">
        <v>31</v>
      </c>
    </row>
    <row r="14" customFormat="false" ht="15" hidden="false" customHeight="false" outlineLevel="0" collapsed="false">
      <c r="A14" s="4" t="s">
        <v>34</v>
      </c>
      <c r="B14" s="5" t="s">
        <v>35</v>
      </c>
      <c r="C14" s="6" t="n">
        <v>13552</v>
      </c>
      <c r="D14" s="6" t="n">
        <v>13697.67</v>
      </c>
      <c r="E14" s="6" t="n">
        <v>13551.9</v>
      </c>
      <c r="F14" s="6" t="n">
        <v>13697.67</v>
      </c>
      <c r="G14" s="9" t="n">
        <f aca="false">E14-C14</f>
        <v>-0.100000000000364</v>
      </c>
      <c r="H14" s="9" t="n">
        <f aca="false">F14-D14</f>
        <v>0</v>
      </c>
      <c r="I14" s="10" t="s">
        <v>31</v>
      </c>
    </row>
    <row r="15" customFormat="false" ht="15" hidden="false" customHeight="false" outlineLevel="0" collapsed="false">
      <c r="A15" s="4" t="s">
        <v>36</v>
      </c>
      <c r="B15" s="5" t="s">
        <v>37</v>
      </c>
      <c r="C15" s="6" t="n">
        <v>3529.96</v>
      </c>
      <c r="D15" s="6" t="n">
        <v>2901.71</v>
      </c>
      <c r="E15" s="6" t="n">
        <v>3530</v>
      </c>
      <c r="F15" s="6" t="n">
        <v>2901.71</v>
      </c>
      <c r="G15" s="9" t="n">
        <f aca="false">E15-C15</f>
        <v>0.0399999999999636</v>
      </c>
      <c r="H15" s="9" t="n">
        <f aca="false">F15-D15</f>
        <v>0</v>
      </c>
      <c r="I15" s="10" t="s">
        <v>31</v>
      </c>
    </row>
    <row r="16" customFormat="false" ht="15" hidden="false" customHeight="false" outlineLevel="0" collapsed="false">
      <c r="A16" s="4" t="s">
        <v>38</v>
      </c>
      <c r="B16" s="5" t="s">
        <v>39</v>
      </c>
      <c r="C16" s="6" t="n">
        <v>114.24</v>
      </c>
      <c r="D16" s="6" t="n">
        <v>8922.15</v>
      </c>
      <c r="E16" s="6" t="n">
        <v>114.24</v>
      </c>
      <c r="F16" s="6" t="n">
        <v>8922.13</v>
      </c>
      <c r="G16" s="9" t="n">
        <f aca="false">E16-C16</f>
        <v>0</v>
      </c>
      <c r="H16" s="9" t="n">
        <f aca="false">F16-D16</f>
        <v>-0.0200000000004366</v>
      </c>
      <c r="I16" s="10" t="s">
        <v>31</v>
      </c>
    </row>
    <row r="17" customFormat="false" ht="15" hidden="false" customHeight="false" outlineLevel="0" collapsed="false">
      <c r="A17" s="4" t="s">
        <v>40</v>
      </c>
      <c r="B17" s="5" t="s">
        <v>41</v>
      </c>
      <c r="C17" s="6" t="n">
        <v>4453.15</v>
      </c>
      <c r="D17" s="6" t="n">
        <v>6249.37</v>
      </c>
      <c r="E17" s="6" t="n">
        <v>4453.16</v>
      </c>
      <c r="F17" s="6" t="n">
        <v>6249.37</v>
      </c>
      <c r="G17" s="9" t="n">
        <f aca="false">E17-C17</f>
        <v>0.0100000000002183</v>
      </c>
      <c r="H17" s="9" t="n">
        <f aca="false">F17-D17</f>
        <v>0</v>
      </c>
      <c r="I17" s="10" t="s">
        <v>31</v>
      </c>
    </row>
    <row r="18" customFormat="false" ht="15" hidden="false" customHeight="false" outlineLevel="0" collapsed="false">
      <c r="A18" s="4" t="s">
        <v>42</v>
      </c>
      <c r="B18" s="5" t="s">
        <v>43</v>
      </c>
      <c r="C18" s="6" t="n">
        <v>2534.65</v>
      </c>
      <c r="D18" s="6" t="n">
        <v>766.39</v>
      </c>
      <c r="E18" s="6" t="n">
        <v>2534.65</v>
      </c>
      <c r="F18" s="6" t="n">
        <v>766.38</v>
      </c>
      <c r="G18" s="9" t="n">
        <f aca="false">E18-C18</f>
        <v>0</v>
      </c>
      <c r="H18" s="9" t="n">
        <f aca="false">F18-D18</f>
        <v>-0.00999999999999091</v>
      </c>
      <c r="I18" s="10" t="s">
        <v>31</v>
      </c>
    </row>
    <row r="19" customFormat="false" ht="15" hidden="false" customHeight="false" outlineLevel="0" collapsed="false">
      <c r="A19" s="4" t="s">
        <v>44</v>
      </c>
      <c r="B19" s="5" t="s">
        <v>45</v>
      </c>
      <c r="C19" s="6" t="n">
        <v>5182.88</v>
      </c>
      <c r="D19" s="6" t="n">
        <v>974.97</v>
      </c>
      <c r="E19" s="6" t="n">
        <v>5182.88</v>
      </c>
      <c r="F19" s="6" t="n">
        <v>974.96</v>
      </c>
      <c r="G19" s="9" t="n">
        <f aca="false">E19-C19</f>
        <v>0</v>
      </c>
      <c r="H19" s="9" t="n">
        <f aca="false">F19-D19</f>
        <v>-0.00999999999999091</v>
      </c>
      <c r="I19" s="10" t="s">
        <v>31</v>
      </c>
    </row>
    <row r="20" customFormat="false" ht="15" hidden="false" customHeight="false" outlineLevel="0" collapsed="false">
      <c r="A20" s="4" t="s">
        <v>46</v>
      </c>
      <c r="B20" s="5" t="s">
        <v>47</v>
      </c>
      <c r="C20" s="6" t="n">
        <v>0</v>
      </c>
      <c r="D20" s="6" t="n">
        <v>4014.67</v>
      </c>
      <c r="E20" s="6" t="n">
        <v>0</v>
      </c>
      <c r="F20" s="6" t="n">
        <v>4014.68</v>
      </c>
      <c r="G20" s="9" t="n">
        <f aca="false">E20-C20</f>
        <v>0</v>
      </c>
      <c r="H20" s="9" t="n">
        <f aca="false">F20-D20</f>
        <v>0.00999999999976353</v>
      </c>
      <c r="I20" s="10" t="s">
        <v>31</v>
      </c>
    </row>
    <row r="21" customFormat="false" ht="15" hidden="false" customHeight="false" outlineLevel="0" collapsed="false">
      <c r="A21" s="4" t="s">
        <v>48</v>
      </c>
      <c r="B21" s="5" t="s">
        <v>49</v>
      </c>
      <c r="C21" s="6" t="n">
        <v>6910.25</v>
      </c>
      <c r="D21" s="6" t="n">
        <v>4</v>
      </c>
      <c r="E21" s="6" t="n">
        <v>6910.25</v>
      </c>
      <c r="F21" s="6" t="n">
        <v>4</v>
      </c>
      <c r="G21" s="9" t="n">
        <f aca="false">E21-C21</f>
        <v>0</v>
      </c>
      <c r="H21" s="9" t="n">
        <f aca="false">F21-D21</f>
        <v>0</v>
      </c>
      <c r="I21" s="10" t="s">
        <v>31</v>
      </c>
    </row>
    <row r="22" customFormat="false" ht="15" hidden="false" customHeight="false" outlineLevel="0" collapsed="false">
      <c r="A22" s="4" t="s">
        <v>50</v>
      </c>
      <c r="B22" s="5" t="s">
        <v>49</v>
      </c>
      <c r="C22" s="6" t="n">
        <v>3742.32</v>
      </c>
      <c r="D22" s="6" t="n">
        <v>0</v>
      </c>
      <c r="E22" s="6" t="n">
        <v>3742.32</v>
      </c>
      <c r="F22" s="6" t="n">
        <v>0</v>
      </c>
      <c r="G22" s="9" t="n">
        <f aca="false">E22-C22</f>
        <v>0</v>
      </c>
      <c r="H22" s="9" t="n">
        <f aca="false">F22-D22</f>
        <v>0</v>
      </c>
      <c r="I22" s="10" t="s">
        <v>31</v>
      </c>
    </row>
    <row r="23" customFormat="false" ht="15" hidden="false" customHeight="false" outlineLevel="0" collapsed="false">
      <c r="A23" s="4" t="s">
        <v>51</v>
      </c>
      <c r="B23" s="5" t="s">
        <v>52</v>
      </c>
      <c r="C23" s="6" t="n">
        <v>2362.59</v>
      </c>
      <c r="D23" s="6" t="n">
        <v>0</v>
      </c>
      <c r="E23" s="6" t="n">
        <v>2362.59</v>
      </c>
      <c r="F23" s="6" t="n">
        <v>0</v>
      </c>
      <c r="G23" s="9" t="n">
        <f aca="false">E23-C23</f>
        <v>0</v>
      </c>
      <c r="H23" s="9" t="n">
        <f aca="false">F23-D23</f>
        <v>0</v>
      </c>
      <c r="I23" s="10" t="s">
        <v>31</v>
      </c>
    </row>
    <row r="24" customFormat="false" ht="15" hidden="false" customHeight="false" outlineLevel="0" collapsed="false">
      <c r="A24" s="4" t="s">
        <v>53</v>
      </c>
      <c r="B24" s="5" t="s">
        <v>54</v>
      </c>
      <c r="C24" s="6" t="n">
        <v>316.56</v>
      </c>
      <c r="D24" s="6" t="n">
        <v>2558.1</v>
      </c>
      <c r="E24" s="6" t="n">
        <v>316.56</v>
      </c>
      <c r="F24" s="6" t="n">
        <v>2558.1</v>
      </c>
      <c r="G24" s="9" t="n">
        <f aca="false">E24-C24</f>
        <v>0</v>
      </c>
      <c r="H24" s="9" t="n">
        <f aca="false">F24-D24</f>
        <v>0</v>
      </c>
      <c r="I24" s="10" t="s">
        <v>31</v>
      </c>
    </row>
    <row r="25" customFormat="false" ht="15" hidden="false" customHeight="false" outlineLevel="0" collapsed="false">
      <c r="A25" s="4" t="s">
        <v>55</v>
      </c>
      <c r="B25" s="5" t="s">
        <v>56</v>
      </c>
      <c r="C25" s="6" t="n">
        <v>2441.7</v>
      </c>
      <c r="D25" s="6" t="n">
        <v>0</v>
      </c>
      <c r="E25" s="6" t="n">
        <v>2441.7</v>
      </c>
      <c r="F25" s="6" t="n">
        <v>0</v>
      </c>
      <c r="G25" s="9" t="n">
        <f aca="false">E25-C25</f>
        <v>0</v>
      </c>
      <c r="H25" s="9" t="n">
        <f aca="false">F25-D25</f>
        <v>0</v>
      </c>
      <c r="I25" s="10" t="s">
        <v>31</v>
      </c>
    </row>
    <row r="26" customFormat="false" ht="15" hidden="false" customHeight="false" outlineLevel="0" collapsed="false">
      <c r="A26" s="4" t="s">
        <v>57</v>
      </c>
      <c r="B26" s="5" t="s">
        <v>58</v>
      </c>
      <c r="C26" s="6" t="n">
        <v>0</v>
      </c>
      <c r="D26" s="6" t="n">
        <v>3088.33</v>
      </c>
      <c r="E26" s="6" t="n">
        <v>0</v>
      </c>
      <c r="F26" s="6" t="n">
        <v>3088.33</v>
      </c>
      <c r="G26" s="9" t="n">
        <f aca="false">E26-C26</f>
        <v>0</v>
      </c>
      <c r="H26" s="9" t="n">
        <f aca="false">F26-D26</f>
        <v>0</v>
      </c>
      <c r="I26" s="10" t="s">
        <v>31</v>
      </c>
    </row>
    <row r="27" customFormat="false" ht="15" hidden="false" customHeight="false" outlineLevel="0" collapsed="false">
      <c r="A27" s="4" t="s">
        <v>59</v>
      </c>
      <c r="B27" s="5" t="s">
        <v>60</v>
      </c>
      <c r="C27" s="6" t="n">
        <v>4517.72</v>
      </c>
      <c r="D27" s="6" t="n">
        <v>192.37</v>
      </c>
      <c r="E27" s="6" t="n">
        <v>4517.72</v>
      </c>
      <c r="F27" s="6" t="n">
        <v>192.37</v>
      </c>
      <c r="G27" s="9" t="n">
        <f aca="false">E27-C27</f>
        <v>0</v>
      </c>
      <c r="H27" s="9" t="n">
        <f aca="false">F27-D27</f>
        <v>0</v>
      </c>
      <c r="I27" s="10" t="s">
        <v>31</v>
      </c>
    </row>
    <row r="28" customFormat="false" ht="15" hidden="false" customHeight="false" outlineLevel="0" collapsed="false">
      <c r="A28" s="4" t="s">
        <v>61</v>
      </c>
      <c r="B28" s="5" t="s">
        <v>62</v>
      </c>
      <c r="C28" s="6" t="n">
        <v>225.24</v>
      </c>
      <c r="D28" s="6" t="n">
        <v>2492.44</v>
      </c>
      <c r="E28" s="6" t="n">
        <v>225.24</v>
      </c>
      <c r="F28" s="6" t="n">
        <v>2492.44</v>
      </c>
      <c r="G28" s="9" t="n">
        <f aca="false">E28-C28</f>
        <v>0</v>
      </c>
      <c r="H28" s="9" t="n">
        <f aca="false">F28-D28</f>
        <v>0</v>
      </c>
      <c r="I28" s="10" t="s">
        <v>31</v>
      </c>
    </row>
    <row r="29" customFormat="false" ht="15" hidden="false" customHeight="false" outlineLevel="0" collapsed="false">
      <c r="A29" s="4" t="s">
        <v>63</v>
      </c>
      <c r="B29" s="5" t="s">
        <v>64</v>
      </c>
      <c r="C29" s="6" t="n">
        <v>229.3</v>
      </c>
      <c r="D29" s="6" t="n">
        <v>2269.5</v>
      </c>
      <c r="E29" s="6" t="n">
        <v>229.3</v>
      </c>
      <c r="F29" s="6" t="n">
        <v>2269.5</v>
      </c>
      <c r="G29" s="9" t="n">
        <f aca="false">E29-C29</f>
        <v>0</v>
      </c>
      <c r="H29" s="9" t="n">
        <f aca="false">F29-D29</f>
        <v>0</v>
      </c>
      <c r="I29" s="10" t="s">
        <v>31</v>
      </c>
    </row>
    <row r="30" customFormat="false" ht="15" hidden="false" customHeight="false" outlineLevel="0" collapsed="false">
      <c r="A30" s="4" t="s">
        <v>65</v>
      </c>
      <c r="B30" s="5" t="s">
        <v>66</v>
      </c>
      <c r="C30" s="6" t="n">
        <v>0</v>
      </c>
      <c r="D30" s="6" t="n">
        <v>0</v>
      </c>
      <c r="E30" s="6" t="n">
        <v>0</v>
      </c>
      <c r="F30" s="6" t="n">
        <v>0</v>
      </c>
      <c r="G30" s="9" t="n">
        <f aca="false">E30-C30</f>
        <v>0</v>
      </c>
      <c r="H30" s="9" t="n">
        <f aca="false">F30-D30</f>
        <v>0</v>
      </c>
      <c r="I30" s="10" t="s">
        <v>67</v>
      </c>
    </row>
    <row r="31" customFormat="false" ht="15" hidden="false" customHeight="false" outlineLevel="0" collapsed="false">
      <c r="A31" s="4" t="s">
        <v>68</v>
      </c>
      <c r="B31" s="5" t="s">
        <v>69</v>
      </c>
      <c r="C31" s="6" t="n">
        <v>965.34</v>
      </c>
      <c r="D31" s="6" t="n">
        <v>2617.93</v>
      </c>
      <c r="E31" s="6" t="n">
        <v>965.34</v>
      </c>
      <c r="F31" s="6" t="n">
        <v>2617.93</v>
      </c>
      <c r="G31" s="9" t="n">
        <f aca="false">E31-C31</f>
        <v>0</v>
      </c>
      <c r="H31" s="9" t="n">
        <f aca="false">F31-D31</f>
        <v>0</v>
      </c>
      <c r="I31" s="10" t="s">
        <v>31</v>
      </c>
    </row>
    <row r="32" customFormat="false" ht="15" hidden="false" customHeight="false" outlineLevel="0" collapsed="false">
      <c r="A32" s="4" t="s">
        <v>70</v>
      </c>
      <c r="B32" s="5" t="s">
        <v>71</v>
      </c>
      <c r="C32" s="6" t="n">
        <v>149.71</v>
      </c>
      <c r="D32" s="6" t="n">
        <v>1208.99</v>
      </c>
      <c r="E32" s="6" t="n">
        <v>149.71</v>
      </c>
      <c r="F32" s="6" t="n">
        <v>1208.99</v>
      </c>
      <c r="G32" s="9" t="n">
        <f aca="false">E32-C32</f>
        <v>0</v>
      </c>
      <c r="H32" s="9" t="n">
        <f aca="false">F32-D32</f>
        <v>0</v>
      </c>
      <c r="I32" s="10" t="s">
        <v>31</v>
      </c>
    </row>
    <row r="33" customFormat="false" ht="15" hidden="false" customHeight="false" outlineLevel="0" collapsed="false">
      <c r="A33" s="4" t="s">
        <v>72</v>
      </c>
      <c r="B33" s="5" t="s">
        <v>73</v>
      </c>
      <c r="C33" s="6" t="n">
        <v>0</v>
      </c>
      <c r="D33" s="6" t="n">
        <v>0</v>
      </c>
      <c r="E33" s="6" t="n">
        <v>0</v>
      </c>
      <c r="F33" s="6" t="n">
        <v>0</v>
      </c>
      <c r="G33" s="9" t="n">
        <f aca="false">E33-C33</f>
        <v>0</v>
      </c>
      <c r="H33" s="9" t="n">
        <f aca="false">F33-D33</f>
        <v>0</v>
      </c>
      <c r="I33" s="10" t="s">
        <v>67</v>
      </c>
    </row>
    <row r="34" customFormat="false" ht="15" hidden="false" customHeight="false" outlineLevel="0" collapsed="false">
      <c r="A34" s="4" t="s">
        <v>74</v>
      </c>
      <c r="B34" s="5" t="s">
        <v>75</v>
      </c>
      <c r="C34" s="6" t="n">
        <v>883.91</v>
      </c>
      <c r="D34" s="6" t="n">
        <v>2225.32</v>
      </c>
      <c r="E34" s="6" t="n">
        <v>883.91</v>
      </c>
      <c r="F34" s="6" t="n">
        <v>2225.32</v>
      </c>
      <c r="G34" s="9" t="n">
        <f aca="false">E34-C34</f>
        <v>0</v>
      </c>
      <c r="H34" s="9" t="n">
        <f aca="false">F34-D34</f>
        <v>0</v>
      </c>
      <c r="I34" s="10" t="s">
        <v>31</v>
      </c>
    </row>
    <row r="35" customFormat="false" ht="15" hidden="false" customHeight="false" outlineLevel="0" collapsed="false">
      <c r="A35" s="4" t="s">
        <v>76</v>
      </c>
      <c r="B35" s="5" t="s">
        <v>77</v>
      </c>
      <c r="C35" s="6" t="n">
        <v>0</v>
      </c>
      <c r="D35" s="6" t="n">
        <v>4756.16</v>
      </c>
      <c r="E35" s="6" t="n">
        <v>0</v>
      </c>
      <c r="F35" s="6" t="n">
        <v>4756.16</v>
      </c>
      <c r="G35" s="9" t="n">
        <f aca="false">E35-C35</f>
        <v>0</v>
      </c>
      <c r="H35" s="9" t="n">
        <f aca="false">F35-D35</f>
        <v>0</v>
      </c>
      <c r="I35" s="10" t="s">
        <v>31</v>
      </c>
    </row>
    <row r="36" customFormat="false" ht="15" hidden="false" customHeight="false" outlineLevel="0" collapsed="false">
      <c r="A36" s="4" t="s">
        <v>78</v>
      </c>
      <c r="B36" s="5" t="s">
        <v>79</v>
      </c>
      <c r="C36" s="6" t="n">
        <v>730.04</v>
      </c>
      <c r="D36" s="6" t="n">
        <v>2176.74</v>
      </c>
      <c r="E36" s="6" t="n">
        <v>730.04</v>
      </c>
      <c r="F36" s="6" t="n">
        <v>2176.74</v>
      </c>
      <c r="G36" s="9" t="n">
        <f aca="false">E36-C36</f>
        <v>0</v>
      </c>
      <c r="H36" s="9" t="n">
        <f aca="false">F36-D36</f>
        <v>0</v>
      </c>
      <c r="I36" s="10" t="s">
        <v>31</v>
      </c>
    </row>
    <row r="37" customFormat="false" ht="15" hidden="false" customHeight="false" outlineLevel="0" collapsed="false">
      <c r="A37" s="4" t="s">
        <v>80</v>
      </c>
      <c r="B37" s="5" t="s">
        <v>81</v>
      </c>
      <c r="C37" s="6" t="n">
        <v>127.32</v>
      </c>
      <c r="D37" s="6" t="n">
        <v>462.92</v>
      </c>
      <c r="E37" s="6" t="n">
        <v>127.32</v>
      </c>
      <c r="F37" s="6" t="n">
        <v>462.92</v>
      </c>
      <c r="G37" s="9" t="n">
        <f aca="false">E37-C37</f>
        <v>0</v>
      </c>
      <c r="H37" s="9" t="n">
        <f aca="false">F37-D37</f>
        <v>0</v>
      </c>
      <c r="I37" s="10" t="s">
        <v>31</v>
      </c>
    </row>
    <row r="38" customFormat="false" ht="15" hidden="false" customHeight="false" outlineLevel="0" collapsed="false">
      <c r="A38" s="4" t="s">
        <v>82</v>
      </c>
      <c r="B38" s="5" t="s">
        <v>83</v>
      </c>
      <c r="C38" s="6" t="n">
        <v>0</v>
      </c>
      <c r="D38" s="6" t="n">
        <v>1825.37</v>
      </c>
      <c r="E38" s="6" t="n">
        <v>0</v>
      </c>
      <c r="F38" s="6" t="n">
        <v>1825.37</v>
      </c>
      <c r="G38" s="9" t="n">
        <f aca="false">E38-C38</f>
        <v>0</v>
      </c>
      <c r="H38" s="9" t="n">
        <f aca="false">F38-D38</f>
        <v>0</v>
      </c>
      <c r="I38" s="10" t="s">
        <v>31</v>
      </c>
    </row>
    <row r="39" customFormat="false" ht="15" hidden="false" customHeight="false" outlineLevel="0" collapsed="false">
      <c r="A39" s="4" t="s">
        <v>84</v>
      </c>
      <c r="B39" s="5" t="s">
        <v>85</v>
      </c>
      <c r="C39" s="6" t="n">
        <v>470.97</v>
      </c>
      <c r="D39" s="6" t="n">
        <v>1271.2</v>
      </c>
      <c r="E39" s="6" t="n">
        <v>470.97</v>
      </c>
      <c r="F39" s="6" t="n">
        <v>1271.2</v>
      </c>
      <c r="G39" s="9" t="n">
        <f aca="false">E39-C39</f>
        <v>0</v>
      </c>
      <c r="H39" s="9" t="n">
        <f aca="false">F39-D39</f>
        <v>0</v>
      </c>
      <c r="I39" s="10" t="s">
        <v>31</v>
      </c>
    </row>
    <row r="40" customFormat="false" ht="15" hidden="false" customHeight="false" outlineLevel="0" collapsed="false">
      <c r="A40" s="4" t="s">
        <v>86</v>
      </c>
      <c r="B40" s="5" t="s">
        <v>87</v>
      </c>
      <c r="C40" s="6" t="n">
        <v>667.95</v>
      </c>
      <c r="D40" s="6" t="n">
        <v>3655.65</v>
      </c>
      <c r="E40" s="6" t="n">
        <v>667.95</v>
      </c>
      <c r="F40" s="6" t="n">
        <v>3655.65</v>
      </c>
      <c r="G40" s="9" t="n">
        <f aca="false">E40-C40</f>
        <v>0</v>
      </c>
      <c r="H40" s="9" t="n">
        <f aca="false">F40-D40</f>
        <v>0</v>
      </c>
      <c r="I40" s="10" t="s">
        <v>31</v>
      </c>
    </row>
    <row r="41" customFormat="false" ht="15" hidden="false" customHeight="false" outlineLevel="0" collapsed="false">
      <c r="A41" s="4" t="s">
        <v>88</v>
      </c>
      <c r="B41" s="5" t="s">
        <v>89</v>
      </c>
      <c r="C41" s="6" t="n">
        <v>9.71</v>
      </c>
      <c r="D41" s="6" t="n">
        <v>350.48</v>
      </c>
      <c r="E41" s="6" t="n">
        <v>9.71</v>
      </c>
      <c r="F41" s="6" t="n">
        <v>350.48</v>
      </c>
      <c r="G41" s="9" t="n">
        <f aca="false">E41-C41</f>
        <v>0</v>
      </c>
      <c r="H41" s="9" t="n">
        <f aca="false">F41-D41</f>
        <v>0</v>
      </c>
      <c r="I41" s="10" t="s">
        <v>31</v>
      </c>
    </row>
    <row r="42" customFormat="false" ht="15" hidden="false" customHeight="false" outlineLevel="0" collapsed="false">
      <c r="A42" s="4" t="s">
        <v>90</v>
      </c>
      <c r="B42" s="5" t="s">
        <v>91</v>
      </c>
      <c r="C42" s="6" t="n">
        <v>975.82</v>
      </c>
      <c r="D42" s="6" t="n">
        <v>3557.39</v>
      </c>
      <c r="E42" s="6" t="n">
        <v>975.82</v>
      </c>
      <c r="F42" s="6" t="n">
        <v>3557.39</v>
      </c>
      <c r="G42" s="9" t="n">
        <f aca="false">E42-C42</f>
        <v>0</v>
      </c>
      <c r="H42" s="9" t="n">
        <f aca="false">F42-D42</f>
        <v>0</v>
      </c>
      <c r="I42" s="10" t="s">
        <v>31</v>
      </c>
    </row>
    <row r="43" customFormat="false" ht="15" hidden="false" customHeight="false" outlineLevel="0" collapsed="false">
      <c r="A43" s="4" t="s">
        <v>92</v>
      </c>
      <c r="B43" s="5" t="s">
        <v>93</v>
      </c>
      <c r="C43" s="6" t="n">
        <v>4108.88</v>
      </c>
      <c r="D43" s="6" t="n">
        <v>4594.5</v>
      </c>
      <c r="E43" s="6" t="n">
        <v>4108.88</v>
      </c>
      <c r="F43" s="6" t="n">
        <v>4594.5</v>
      </c>
      <c r="G43" s="9" t="n">
        <f aca="false">E43-C43</f>
        <v>0</v>
      </c>
      <c r="H43" s="9" t="n">
        <f aca="false">F43-D43</f>
        <v>0</v>
      </c>
      <c r="I43" s="10" t="s">
        <v>31</v>
      </c>
    </row>
    <row r="44" customFormat="false" ht="15" hidden="false" customHeight="false" outlineLevel="0" collapsed="false">
      <c r="A44" s="4" t="s">
        <v>94</v>
      </c>
      <c r="B44" s="5" t="s">
        <v>95</v>
      </c>
      <c r="C44" s="6" t="n">
        <v>2296.33</v>
      </c>
      <c r="D44" s="6" t="n">
        <v>1481.29</v>
      </c>
      <c r="E44" s="6" t="n">
        <v>2296.33</v>
      </c>
      <c r="F44" s="6" t="n">
        <v>1481.29</v>
      </c>
      <c r="G44" s="9" t="n">
        <f aca="false">E44-C44</f>
        <v>0</v>
      </c>
      <c r="H44" s="9" t="n">
        <f aca="false">F44-D44</f>
        <v>0</v>
      </c>
      <c r="I44" s="10" t="s">
        <v>31</v>
      </c>
    </row>
    <row r="45" customFormat="false" ht="15" hidden="false" customHeight="false" outlineLevel="0" collapsed="false">
      <c r="A45" s="4" t="s">
        <v>96</v>
      </c>
      <c r="B45" s="5" t="s">
        <v>97</v>
      </c>
      <c r="C45" s="6" t="n">
        <v>2133.04</v>
      </c>
      <c r="D45" s="6" t="n">
        <v>0</v>
      </c>
      <c r="E45" s="6" t="n">
        <v>2133.04</v>
      </c>
      <c r="F45" s="6" t="n">
        <v>0</v>
      </c>
      <c r="G45" s="9" t="n">
        <f aca="false">E45-C45</f>
        <v>0</v>
      </c>
      <c r="H45" s="9" t="n">
        <f aca="false">F45-D45</f>
        <v>0</v>
      </c>
      <c r="I45" s="10" t="s">
        <v>31</v>
      </c>
    </row>
    <row r="46" customFormat="false" ht="15" hidden="false" customHeight="false" outlineLevel="0" collapsed="false">
      <c r="A46" s="4" t="s">
        <v>98</v>
      </c>
      <c r="B46" s="5" t="s">
        <v>99</v>
      </c>
      <c r="C46" s="6" t="n">
        <v>0</v>
      </c>
      <c r="D46" s="6" t="n">
        <v>839.77</v>
      </c>
      <c r="E46" s="6" t="n">
        <v>0</v>
      </c>
      <c r="F46" s="6" t="n">
        <v>839.77</v>
      </c>
      <c r="G46" s="9" t="n">
        <f aca="false">E46-C46</f>
        <v>0</v>
      </c>
      <c r="H46" s="9" t="n">
        <f aca="false">F46-D46</f>
        <v>0</v>
      </c>
      <c r="I46" s="10" t="s">
        <v>31</v>
      </c>
    </row>
    <row r="47" customFormat="false" ht="15" hidden="false" customHeight="false" outlineLevel="0" collapsed="false">
      <c r="A47" s="4" t="s">
        <v>100</v>
      </c>
      <c r="B47" s="5" t="s">
        <v>101</v>
      </c>
      <c r="C47" s="6" t="n">
        <v>0</v>
      </c>
      <c r="D47" s="6" t="n">
        <v>19091.85</v>
      </c>
      <c r="E47" s="6" t="n">
        <v>0</v>
      </c>
      <c r="F47" s="6" t="n">
        <v>19091.85</v>
      </c>
      <c r="G47" s="9" t="n">
        <f aca="false">E47-C47</f>
        <v>0</v>
      </c>
      <c r="H47" s="9" t="n">
        <f aca="false">F47-D47</f>
        <v>0</v>
      </c>
      <c r="I47" s="10" t="s">
        <v>31</v>
      </c>
    </row>
    <row r="48" customFormat="false" ht="15" hidden="false" customHeight="false" outlineLevel="0" collapsed="false">
      <c r="A48" s="4" t="s">
        <v>102</v>
      </c>
      <c r="B48" s="5" t="s">
        <v>103</v>
      </c>
      <c r="C48" s="6" t="n">
        <v>0</v>
      </c>
      <c r="D48" s="6" t="n">
        <v>110.18</v>
      </c>
      <c r="E48" s="6" t="n">
        <v>0</v>
      </c>
      <c r="F48" s="6" t="n">
        <v>110.18</v>
      </c>
      <c r="G48" s="9" t="n">
        <f aca="false">E48-C48</f>
        <v>0</v>
      </c>
      <c r="H48" s="9" t="n">
        <f aca="false">F48-D48</f>
        <v>0</v>
      </c>
      <c r="I48" s="10" t="s">
        <v>31</v>
      </c>
    </row>
    <row r="49" customFormat="false" ht="15" hidden="false" customHeight="false" outlineLevel="0" collapsed="false">
      <c r="A49" s="4" t="s">
        <v>104</v>
      </c>
      <c r="B49" s="5" t="s">
        <v>105</v>
      </c>
      <c r="C49" s="6" t="n">
        <v>986.84</v>
      </c>
      <c r="D49" s="6" t="n">
        <v>4123.24</v>
      </c>
      <c r="E49" s="6" t="n">
        <v>986.84</v>
      </c>
      <c r="F49" s="6" t="n">
        <v>4123.24</v>
      </c>
      <c r="G49" s="9" t="n">
        <f aca="false">E49-C49</f>
        <v>0</v>
      </c>
      <c r="H49" s="9" t="n">
        <f aca="false">F49-D49</f>
        <v>0</v>
      </c>
      <c r="I49" s="10" t="s">
        <v>31</v>
      </c>
    </row>
    <row r="50" customFormat="false" ht="15" hidden="false" customHeight="false" outlineLevel="0" collapsed="false">
      <c r="A50" s="4" t="s">
        <v>106</v>
      </c>
      <c r="B50" s="5" t="s">
        <v>107</v>
      </c>
      <c r="C50" s="6" t="n">
        <v>0</v>
      </c>
      <c r="D50" s="6" t="n">
        <v>3291.68</v>
      </c>
      <c r="E50" s="6" t="n">
        <v>0</v>
      </c>
      <c r="F50" s="6" t="n">
        <v>3291.68</v>
      </c>
      <c r="G50" s="9" t="n">
        <f aca="false">E50-C50</f>
        <v>0</v>
      </c>
      <c r="H50" s="9" t="n">
        <f aca="false">F50-D50</f>
        <v>0</v>
      </c>
      <c r="I50" s="10" t="s">
        <v>31</v>
      </c>
    </row>
    <row r="51" customFormat="false" ht="15" hidden="false" customHeight="false" outlineLevel="0" collapsed="false">
      <c r="A51" s="4" t="s">
        <v>108</v>
      </c>
      <c r="B51" s="5" t="s">
        <v>109</v>
      </c>
      <c r="C51" s="6" t="n">
        <v>0</v>
      </c>
      <c r="D51" s="6" t="n">
        <v>824.07</v>
      </c>
      <c r="E51" s="6" t="n">
        <v>0</v>
      </c>
      <c r="F51" s="6" t="n">
        <v>824.07</v>
      </c>
      <c r="G51" s="9" t="n">
        <f aca="false">E51-C51</f>
        <v>0</v>
      </c>
      <c r="H51" s="9" t="n">
        <f aca="false">F51-D51</f>
        <v>0</v>
      </c>
      <c r="I51" s="10" t="s">
        <v>31</v>
      </c>
    </row>
    <row r="52" customFormat="false" ht="15" hidden="false" customHeight="false" outlineLevel="0" collapsed="false">
      <c r="A52" s="4" t="s">
        <v>110</v>
      </c>
      <c r="B52" s="5" t="s">
        <v>111</v>
      </c>
      <c r="C52" s="6" t="n">
        <v>10925</v>
      </c>
      <c r="D52" s="6" t="n">
        <v>0</v>
      </c>
      <c r="E52" s="6" t="n">
        <v>10925</v>
      </c>
      <c r="F52" s="6" t="n">
        <v>0</v>
      </c>
      <c r="G52" s="9" t="n">
        <f aca="false">E52-C52</f>
        <v>0</v>
      </c>
      <c r="H52" s="9" t="n">
        <f aca="false">F52-D52</f>
        <v>0</v>
      </c>
      <c r="I52" s="10" t="s">
        <v>31</v>
      </c>
    </row>
    <row r="53" customFormat="false" ht="19.4" hidden="false" customHeight="false" outlineLevel="0" collapsed="false">
      <c r="A53" s="5"/>
      <c r="B53" s="11" t="s">
        <v>112</v>
      </c>
      <c r="C53" s="12" t="n">
        <f aca="false">SUM(C5:C52)</f>
        <v>93008.15</v>
      </c>
      <c r="D53" s="12" t="n">
        <f aca="false">SUM(D5:D52)</f>
        <v>128102.88</v>
      </c>
      <c r="E53" s="12" t="n">
        <f aca="false">SUM(E5:E52)</f>
        <v>89458.86</v>
      </c>
      <c r="F53" s="12" t="n">
        <f aca="false">SUM(F5:F52)</f>
        <v>113790.71</v>
      </c>
      <c r="G53" s="12" t="n">
        <f aca="false">SUM(G5:G52)</f>
        <v>-3549.29</v>
      </c>
      <c r="H53" s="12" t="n">
        <f aca="false">SUM(H5:H52)</f>
        <v>-14312.17</v>
      </c>
      <c r="I53" s="13" t="s">
        <v>113</v>
      </c>
    </row>
  </sheetData>
  <autoFilter ref="A4:I52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2026-06-26T10:56:23Z</dcterms:created>
  <dc:creator>openpyxl</dc:creator>
  <dc:description/>
  <dc:language>en-US</dc:language>
  <cp:lastModifiedBy/>
  <dcterms:modified xsi:type="dcterms:W3CDTF">2026-06-26T10:56:23Z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